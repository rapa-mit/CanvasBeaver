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ade Report" sheetId="1" state="visible" r:id="rId3"/>
    <sheet name="Grad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<sst xmlns="http://schemas.openxmlformats.org/spreadsheetml/2006/main" count="85" uniqueCount="54">
  <si>
    <t xml:space="preserve">GRADE REPORT (PARTIAL SEMESTER)</t>
  </si>
  <si>
    <t xml:space="preserve">Student:</t>
  </si>
  <si>
    <t xml:space="preserve">Perfect Beaver</t>
  </si>
  <si>
    <t xml:space="preserve">Email:</t>
  </si>
  <si>
    <t xml:space="preserve">beaver@mit.edu</t>
  </si>
  <si>
    <t xml:space="preserve">MIT ID:</t>
  </si>
  <si>
    <t xml:space="preserve">∞</t>
  </si>
  <si>
    <t xml:space="preserve">CURRENT GRADE (on graded work):</t>
  </si>
  <si>
    <t xml:space="preserve">PROBLEM SETS</t>
  </si>
  <si>
    <t xml:space="preserve">Assignment</t>
  </si>
  <si>
    <t xml:space="preserve">Score</t>
  </si>
  <si>
    <t xml:space="preserve">Max Points</t>
  </si>
  <si>
    <t xml:space="preserve">Percentage</t>
  </si>
  <si>
    <t xml:space="preserve">Included</t>
  </si>
  <si>
    <t xml:space="preserve">Problem Set #3</t>
  </si>
  <si>
    <t xml:space="preserve">Yes</t>
  </si>
  <si>
    <t xml:space="preserve">Problem Set #4</t>
  </si>
  <si>
    <t xml:space="preserve">Problem Set #8</t>
  </si>
  <si>
    <t xml:space="preserve">Problem Set #9</t>
  </si>
  <si>
    <t xml:space="preserve">Problem Set #5</t>
  </si>
  <si>
    <t xml:space="preserve">Problem Set #6</t>
  </si>
  <si>
    <t xml:space="preserve">Problem Set #1</t>
  </si>
  <si>
    <t xml:space="preserve">Problem Set #2</t>
  </si>
  <si>
    <t xml:space="preserve">Lab Report - Material Tensile Test Lab</t>
  </si>
  <si>
    <t xml:space="preserve">No (Dropped)</t>
  </si>
  <si>
    <t xml:space="preserve">Average:</t>
  </si>
  <si>
    <t xml:space="preserve">Category Weight:</t>
  </si>
  <si>
    <t xml:space="preserve">Contribution to Total:</t>
  </si>
  <si>
    <t xml:space="preserve">QUIZLETS</t>
  </si>
  <si>
    <t xml:space="preserve">Quizlet #1</t>
  </si>
  <si>
    <t xml:space="preserve">Quizlet #2</t>
  </si>
  <si>
    <t xml:space="preserve">Quizlet #3</t>
  </si>
  <si>
    <t xml:space="preserve">Quizlet #5</t>
  </si>
  <si>
    <t xml:space="preserve">Quizlet #7</t>
  </si>
  <si>
    <t xml:space="preserve">Quizlet #4</t>
  </si>
  <si>
    <t xml:space="preserve">GIR Quizlet</t>
  </si>
  <si>
    <t xml:space="preserve">MIDTERM</t>
  </si>
  <si>
    <t xml:space="preserve">16.001 Midterm</t>
  </si>
  <si>
    <t xml:space="preserve">TOTAL (weighted sum):</t>
  </si>
  <si>
    <t xml:space="preserve">Normalization factor:</t>
  </si>
  <si>
    <t xml:space="preserve">CURRENT GRADE:</t>
  </si>
  <si>
    <t xml:space="preserve">Min Percentage</t>
  </si>
  <si>
    <t xml:space="preserve">Letter Grade</t>
  </si>
  <si>
    <t xml:space="preserve">F</t>
  </si>
  <si>
    <t xml:space="preserve">D</t>
  </si>
  <si>
    <t xml:space="preserve">C-</t>
  </si>
  <si>
    <t xml:space="preserve">C</t>
  </si>
  <si>
    <t xml:space="preserve">C+</t>
  </si>
  <si>
    <t xml:space="preserve">B-</t>
  </si>
  <si>
    <t xml:space="preserve">B</t>
  </si>
  <si>
    <t xml:space="preserve">B+</t>
  </si>
  <si>
    <t xml:space="preserve">A-</t>
  </si>
  <si>
    <t xml:space="preserve">A</t>
  </si>
  <si>
    <t xml:space="preserve">A+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</si>
</sst>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\%"/>
    <numFmt numFmtId="166" formatCode="0.0000"/>
    <numFmt numFmtId="167" formatCode="0.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366092"/>
        <bgColor rgb="FF333399"/>
      </patternFill>
    </fill>
    <fill>
      <patternFill patternType="solid">
        <fgColor rgb="FFFFF2CC"/>
        <bgColor rgb="FFFFFFFF"/>
      </patternFill>
    </fill>
    <fill>
      <patternFill patternType="solid">
        <fgColor rgb="FF92D05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beaver@mit.edu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B38" activeCellId="0" sqref="B3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2"/>
    <col collapsed="false" customWidth="true" hidden="false" outlineLevel="0" max="5" min="4" style="0" width="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0" t="s">
        <v>2</v>
      </c>
    </row>
    <row r="3" customFormat="false" ht="15" hidden="false" customHeight="false" outlineLevel="0" collapsed="false">
      <c r="A3" s="2" t="s">
        <v>3</v>
      </c>
      <c r="B3" s="0" t="s">
        <v>4</v>
      </c>
    </row>
    <row r="4" customFormat="false" ht="15" hidden="false" customHeight="false" outlineLevel="0" collapsed="false">
      <c r="A4" s="2" t="s">
        <v>5</v>
      </c>
      <c r="B4" s="0" t="s">
        <v>6</v>
      </c>
    </row>
    <row r="6" customFormat="false" ht="15" hidden="false" customHeight="false" outlineLevel="0" collapsed="false">
      <c r="A6" s="3" t="s">
        <v>7</v>
      </c>
      <c r="D6" s="4" t="n">
        <f aca="false">D45</f>
        <v>1</v>
      </c>
      <c r="E6" s="3" t="str">
        <f aca="false">VLOOKUP(D6,Grades!A:B,2,TRUE())</f>
        <v>A+</v>
      </c>
    </row>
    <row r="8" customFormat="false" ht="15" hidden="false" customHeight="false" outlineLevel="0" collapsed="false">
      <c r="A8" s="5" t="s">
        <v>8</v>
      </c>
      <c r="B8" s="5"/>
      <c r="C8" s="5"/>
      <c r="D8" s="5"/>
      <c r="E8" s="5"/>
    </row>
    <row r="9" customFormat="false" ht="15" hidden="false" customHeight="false" outlineLevel="0" collapsed="false">
      <c r="A9" s="6" t="s">
        <v>9</v>
      </c>
      <c r="B9" s="6" t="s">
        <v>10</v>
      </c>
      <c r="C9" s="6" t="s">
        <v>11</v>
      </c>
      <c r="D9" s="6" t="s">
        <v>12</v>
      </c>
      <c r="E9" s="6" t="s">
        <v>13</v>
      </c>
    </row>
    <row r="10" customFormat="false" ht="15" hidden="false" customHeight="false" outlineLevel="0" collapsed="false">
      <c r="A10" s="7" t="s">
        <v>14</v>
      </c>
      <c r="B10" s="7" t="n">
        <v>4</v>
      </c>
      <c r="C10" s="7" t="n">
        <v>4</v>
      </c>
      <c r="D10" s="8" t="n">
        <f aca="false">IF(C10&gt;0, B10/C10*100, 0)</f>
        <v>100</v>
      </c>
      <c r="E10" s="7" t="s">
        <v>15</v>
      </c>
    </row>
    <row r="11" customFormat="false" ht="15" hidden="false" customHeight="false" outlineLevel="0" collapsed="false">
      <c r="A11" s="7" t="s">
        <v>16</v>
      </c>
      <c r="B11" s="7" t="n">
        <v>4</v>
      </c>
      <c r="C11" s="7" t="n">
        <v>4</v>
      </c>
      <c r="D11" s="8" t="n">
        <f aca="false">IF(C11&gt;0, B11/C11*100, 0)</f>
        <v>100</v>
      </c>
      <c r="E11" s="7" t="s">
        <v>15</v>
      </c>
    </row>
    <row r="12" customFormat="false" ht="15" hidden="false" customHeight="false" outlineLevel="0" collapsed="false">
      <c r="A12" s="7" t="s">
        <v>17</v>
      </c>
      <c r="B12" s="7" t="n">
        <v>4</v>
      </c>
      <c r="C12" s="7" t="n">
        <v>4</v>
      </c>
      <c r="D12" s="8" t="n">
        <f aca="false">IF(C12&gt;0, B12/C12*100, 0)</f>
        <v>100</v>
      </c>
      <c r="E12" s="7" t="s">
        <v>15</v>
      </c>
    </row>
    <row r="13" customFormat="false" ht="15" hidden="false" customHeight="false" outlineLevel="0" collapsed="false">
      <c r="A13" s="7" t="s">
        <v>18</v>
      </c>
      <c r="B13" s="7" t="n">
        <v>2</v>
      </c>
      <c r="C13" s="7" t="n">
        <v>2</v>
      </c>
      <c r="D13" s="8" t="n">
        <f aca="false">IF(C13&gt;0, B13/C13*100, 0)</f>
        <v>100</v>
      </c>
      <c r="E13" s="7" t="s">
        <v>15</v>
      </c>
    </row>
    <row r="14" customFormat="false" ht="15" hidden="false" customHeight="false" outlineLevel="0" collapsed="false">
      <c r="A14" s="7" t="s">
        <v>19</v>
      </c>
      <c r="B14" s="7" t="n">
        <v>3</v>
      </c>
      <c r="C14" s="7" t="n">
        <v>3</v>
      </c>
      <c r="D14" s="8" t="n">
        <f aca="false">IF(C14&gt;0, B14/C14*100, 0)</f>
        <v>100</v>
      </c>
      <c r="E14" s="7" t="s">
        <v>15</v>
      </c>
    </row>
    <row r="15" customFormat="false" ht="15" hidden="false" customHeight="false" outlineLevel="0" collapsed="false">
      <c r="A15" s="7" t="s">
        <v>20</v>
      </c>
      <c r="B15" s="7" t="n">
        <v>4</v>
      </c>
      <c r="C15" s="7" t="n">
        <v>4</v>
      </c>
      <c r="D15" s="8" t="n">
        <f aca="false">IF(C15&gt;0, B15/C15*100, 0)</f>
        <v>100</v>
      </c>
      <c r="E15" s="7" t="s">
        <v>15</v>
      </c>
    </row>
    <row r="16" customFormat="false" ht="15" hidden="false" customHeight="false" outlineLevel="0" collapsed="false">
      <c r="A16" s="7" t="s">
        <v>21</v>
      </c>
      <c r="B16" s="7" t="n">
        <v>5</v>
      </c>
      <c r="C16" s="7" t="n">
        <v>5</v>
      </c>
      <c r="D16" s="8" t="n">
        <f aca="false">IF(C16&gt;0, B16/C16*100, 0)</f>
        <v>100</v>
      </c>
      <c r="E16" s="7" t="s">
        <v>15</v>
      </c>
    </row>
    <row r="17" customFormat="false" ht="15" hidden="false" customHeight="false" outlineLevel="0" collapsed="false">
      <c r="A17" s="7" t="s">
        <v>22</v>
      </c>
      <c r="B17" s="7" t="n">
        <v>5</v>
      </c>
      <c r="C17" s="7" t="n">
        <v>5</v>
      </c>
      <c r="D17" s="8" t="n">
        <f aca="false">IF(C17&gt;0, B17/C17*100, 0)</f>
        <v>100</v>
      </c>
      <c r="E17" s="7" t="s">
        <v>15</v>
      </c>
    </row>
    <row r="18" customFormat="false" ht="15" hidden="false" customHeight="false" outlineLevel="0" collapsed="false">
      <c r="A18" s="7" t="s">
        <v>23</v>
      </c>
      <c r="B18" s="7" t="n">
        <v>50</v>
      </c>
      <c r="C18" s="7" t="n">
        <v>50</v>
      </c>
      <c r="D18" s="8" t="n">
        <f aca="false">IF(C18&gt;0, B18/C18*100, 0)</f>
        <v>100</v>
      </c>
      <c r="E18" s="7" t="s">
        <v>24</v>
      </c>
    </row>
    <row r="19" customFormat="false" ht="15" hidden="false" customHeight="false" outlineLevel="0" collapsed="false">
      <c r="A19" s="2" t="s">
        <v>25</v>
      </c>
      <c r="D19" s="9" t="n">
        <f aca="false">AVERAGEIF(E10:E18,"Yes",D10:D18)</f>
        <v>100</v>
      </c>
    </row>
    <row r="20" customFormat="false" ht="15" hidden="false" customHeight="false" outlineLevel="0" collapsed="false">
      <c r="A20" s="2" t="s">
        <v>26</v>
      </c>
      <c r="D20" s="8" t="n">
        <v>15</v>
      </c>
    </row>
    <row r="21" customFormat="false" ht="15" hidden="false" customHeight="false" outlineLevel="0" collapsed="false">
      <c r="A21" s="2" t="s">
        <v>27</v>
      </c>
      <c r="D21" s="10" t="n">
        <f aca="false">D19*D20/10000</f>
        <v>0.15</v>
      </c>
    </row>
    <row r="23" customFormat="false" ht="15" hidden="false" customHeight="false" outlineLevel="0" collapsed="false">
      <c r="A23" s="5" t="s">
        <v>28</v>
      </c>
      <c r="B23" s="5"/>
      <c r="C23" s="5"/>
      <c r="D23" s="5"/>
      <c r="E23" s="5"/>
    </row>
    <row r="24" customFormat="false" ht="15" hidden="false" customHeight="false" outlineLevel="0" collapsed="false">
      <c r="A24" s="6" t="s">
        <v>9</v>
      </c>
      <c r="B24" s="6" t="s">
        <v>10</v>
      </c>
      <c r="C24" s="6" t="s">
        <v>11</v>
      </c>
      <c r="D24" s="6" t="s">
        <v>12</v>
      </c>
      <c r="E24" s="6" t="s">
        <v>13</v>
      </c>
    </row>
    <row r="25" customFormat="false" ht="15" hidden="false" customHeight="false" outlineLevel="0" collapsed="false">
      <c r="A25" s="7" t="s">
        <v>29</v>
      </c>
      <c r="B25" s="7" t="n">
        <v>3</v>
      </c>
      <c r="C25" s="7" t="n">
        <v>3</v>
      </c>
      <c r="D25" s="8" t="n">
        <f aca="false">IF(C25&gt;0, B25/C25*100, 0)</f>
        <v>100</v>
      </c>
      <c r="E25" s="7" t="s">
        <v>15</v>
      </c>
    </row>
    <row r="26" customFormat="false" ht="15" hidden="false" customHeight="false" outlineLevel="0" collapsed="false">
      <c r="A26" s="7" t="s">
        <v>30</v>
      </c>
      <c r="B26" s="7" t="n">
        <v>2</v>
      </c>
      <c r="C26" s="7" t="n">
        <v>2</v>
      </c>
      <c r="D26" s="8" t="n">
        <f aca="false">IF(C26&gt;0, B26/C26*100, 0)</f>
        <v>100</v>
      </c>
      <c r="E26" s="7" t="s">
        <v>15</v>
      </c>
    </row>
    <row r="27" customFormat="false" ht="15" hidden="false" customHeight="false" outlineLevel="0" collapsed="false">
      <c r="A27" s="7" t="s">
        <v>31</v>
      </c>
      <c r="B27" s="7" t="n">
        <v>1</v>
      </c>
      <c r="C27" s="7" t="n">
        <v>1</v>
      </c>
      <c r="D27" s="8" t="n">
        <f aca="false">IF(C27&gt;0, B27/C27*100, 0)</f>
        <v>100</v>
      </c>
      <c r="E27" s="7" t="s">
        <v>15</v>
      </c>
    </row>
    <row r="28" customFormat="false" ht="15" hidden="false" customHeight="false" outlineLevel="0" collapsed="false">
      <c r="A28" s="7" t="s">
        <v>32</v>
      </c>
      <c r="B28" s="7" t="n">
        <v>1</v>
      </c>
      <c r="C28" s="7" t="n">
        <v>1</v>
      </c>
      <c r="D28" s="8" t="n">
        <f aca="false">IF(C28&gt;0, B28/C28*100, 0)</f>
        <v>100</v>
      </c>
      <c r="E28" s="7" t="s">
        <v>15</v>
      </c>
    </row>
    <row r="29" customFormat="false" ht="15" hidden="false" customHeight="false" outlineLevel="0" collapsed="false">
      <c r="A29" s="7" t="s">
        <v>33</v>
      </c>
      <c r="B29" s="7" t="n">
        <v>1</v>
      </c>
      <c r="C29" s="7" t="n">
        <v>1</v>
      </c>
      <c r="D29" s="8" t="n">
        <f aca="false">IF(C29&gt;0, B29/C29*100, 0)</f>
        <v>100</v>
      </c>
      <c r="E29" s="7" t="s">
        <v>15</v>
      </c>
    </row>
    <row r="30" customFormat="false" ht="15" hidden="false" customHeight="false" outlineLevel="0" collapsed="false">
      <c r="A30" s="7" t="s">
        <v>34</v>
      </c>
      <c r="B30" s="7" t="n">
        <v>7</v>
      </c>
      <c r="C30" s="7" t="n">
        <v>7</v>
      </c>
      <c r="D30" s="8" t="n">
        <f aca="false">IF(C30&gt;0, B30/C30*100, 0)</f>
        <v>100</v>
      </c>
      <c r="E30" s="7" t="s">
        <v>15</v>
      </c>
    </row>
    <row r="31" customFormat="false" ht="15" hidden="false" customHeight="false" outlineLevel="0" collapsed="false">
      <c r="A31" s="7" t="s">
        <v>35</v>
      </c>
      <c r="B31" s="7" t="n">
        <v>22</v>
      </c>
      <c r="C31" s="7" t="n">
        <v>22</v>
      </c>
      <c r="D31" s="8" t="n">
        <f aca="false">IF(C31&gt;0, B31/C31*100, 0)</f>
        <v>100</v>
      </c>
      <c r="E31" s="7" t="s">
        <v>24</v>
      </c>
    </row>
    <row r="32" customFormat="false" ht="15" hidden="false" customHeight="false" outlineLevel="0" collapsed="false">
      <c r="A32" s="2" t="s">
        <v>25</v>
      </c>
      <c r="D32" s="9" t="n">
        <f aca="false">AVERAGEIF(E25:E31,"Yes",D25:D31)</f>
        <v>100</v>
      </c>
    </row>
    <row r="33" customFormat="false" ht="15" hidden="false" customHeight="false" outlineLevel="0" collapsed="false">
      <c r="A33" s="2" t="s">
        <v>26</v>
      </c>
      <c r="D33" s="8" t="n">
        <v>25</v>
      </c>
    </row>
    <row r="34" customFormat="false" ht="15" hidden="false" customHeight="false" outlineLevel="0" collapsed="false">
      <c r="A34" s="2" t="s">
        <v>27</v>
      </c>
      <c r="D34" s="10" t="n">
        <f aca="false">D32*D33/10000</f>
        <v>0.25</v>
      </c>
    </row>
    <row r="36" customFormat="false" ht="15" hidden="false" customHeight="false" outlineLevel="0" collapsed="false">
      <c r="A36" s="5" t="s">
        <v>36</v>
      </c>
      <c r="B36" s="5"/>
      <c r="C36" s="5"/>
      <c r="D36" s="5"/>
      <c r="E36" s="5"/>
    </row>
    <row r="37" customFormat="false" ht="15" hidden="false" customHeight="false" outlineLevel="0" collapsed="false">
      <c r="A37" s="6" t="s">
        <v>9</v>
      </c>
      <c r="B37" s="6" t="s">
        <v>10</v>
      </c>
      <c r="C37" s="6" t="s">
        <v>11</v>
      </c>
      <c r="D37" s="6" t="s">
        <v>12</v>
      </c>
      <c r="E37" s="6" t="s">
        <v>13</v>
      </c>
    </row>
    <row r="38" customFormat="false" ht="15" hidden="false" customHeight="false" outlineLevel="0" collapsed="false">
      <c r="A38" s="7" t="s">
        <v>37</v>
      </c>
      <c r="B38" s="7" t="n">
        <v>92</v>
      </c>
      <c r="C38" s="7" t="n">
        <v>92</v>
      </c>
      <c r="D38" s="8" t="n">
        <f aca="false">IF(C38&gt;0, B38/C38*100, 0)</f>
        <v>100</v>
      </c>
      <c r="E38" s="7" t="s">
        <v>15</v>
      </c>
    </row>
    <row r="39" customFormat="false" ht="15" hidden="false" customHeight="false" outlineLevel="0" collapsed="false">
      <c r="A39" s="2" t="s">
        <v>25</v>
      </c>
      <c r="D39" s="9" t="n">
        <f aca="false">AVERAGEIF(E38,"Yes",D38)</f>
        <v>100</v>
      </c>
    </row>
    <row r="40" customFormat="false" ht="15" hidden="false" customHeight="false" outlineLevel="0" collapsed="false">
      <c r="A40" s="2" t="s">
        <v>26</v>
      </c>
      <c r="D40" s="8" t="n">
        <v>25</v>
      </c>
    </row>
    <row r="41" customFormat="false" ht="15" hidden="false" customHeight="false" outlineLevel="0" collapsed="false">
      <c r="A41" s="2" t="s">
        <v>27</v>
      </c>
      <c r="D41" s="10" t="n">
        <f aca="false">D39*D40/10000</f>
        <v>0.25</v>
      </c>
    </row>
    <row r="43" customFormat="false" ht="15" hidden="false" customHeight="false" outlineLevel="0" collapsed="false">
      <c r="A43" s="2" t="s">
        <v>38</v>
      </c>
      <c r="D43" s="9" t="n">
        <f aca="false">D21+D34+D41</f>
        <v>0.65</v>
      </c>
    </row>
    <row r="44" customFormat="false" ht="15" hidden="false" customHeight="false" outlineLevel="0" collapsed="false">
      <c r="A44" s="2" t="s">
        <v>39</v>
      </c>
      <c r="D44" s="11" t="n">
        <v>0.65</v>
      </c>
    </row>
    <row r="45" customFormat="false" ht="15" hidden="false" customHeight="false" outlineLevel="0" collapsed="false">
      <c r="A45" s="12" t="s">
        <v>40</v>
      </c>
      <c r="D45" s="13" t="n">
        <f aca="false">D43/D44</f>
        <v>1</v>
      </c>
    </row>
  </sheetData>
  <mergeCells count="4">
    <mergeCell ref="A1:E1"/>
    <mergeCell ref="A8:E8"/>
    <mergeCell ref="A23:E23"/>
    <mergeCell ref="A36:E36"/>
  </mergeCells>
  <hyperlinks>
    <hyperlink ref="B3" r:id="rId1" display="beaver@mit.ed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38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2" t="s">
        <v>41</v>
      </c>
      <c r="B1" s="2" t="s">
        <v>42</v>
      </c>
    </row>
    <row r="2" customFormat="false" ht="15" hidden="false" customHeight="false" outlineLevel="0" collapsed="false">
      <c r="A2" s="14" t="n">
        <v>0</v>
      </c>
      <c r="B2" s="0" t="s">
        <v>43</v>
      </c>
    </row>
    <row r="3" customFormat="false" ht="15" hidden="false" customHeight="false" outlineLevel="0" collapsed="false">
      <c r="A3" s="14" t="n">
        <v>0.61</v>
      </c>
      <c r="B3" s="0" t="s">
        <v>44</v>
      </c>
    </row>
    <row r="4" customFormat="false" ht="15" hidden="false" customHeight="false" outlineLevel="0" collapsed="false">
      <c r="A4" s="14" t="n">
        <v>0.7</v>
      </c>
      <c r="B4" s="0" t="s">
        <v>45</v>
      </c>
    </row>
    <row r="5" customFormat="false" ht="15" hidden="false" customHeight="false" outlineLevel="0" collapsed="false">
      <c r="A5" s="14" t="n">
        <v>0.74</v>
      </c>
      <c r="B5" s="0" t="s">
        <v>46</v>
      </c>
    </row>
    <row r="6" customFormat="false" ht="15" hidden="false" customHeight="false" outlineLevel="0" collapsed="false">
      <c r="A6" s="14" t="n">
        <v>0.77</v>
      </c>
      <c r="B6" s="0" t="s">
        <v>47</v>
      </c>
    </row>
    <row r="7" customFormat="false" ht="15" hidden="false" customHeight="false" outlineLevel="0" collapsed="false">
      <c r="A7" s="14" t="n">
        <v>0.8</v>
      </c>
      <c r="B7" s="0" t="s">
        <v>48</v>
      </c>
    </row>
    <row r="8" customFormat="false" ht="15" hidden="false" customHeight="false" outlineLevel="0" collapsed="false">
      <c r="A8" s="14" t="n">
        <v>0.84</v>
      </c>
      <c r="B8" s="0" t="s">
        <v>49</v>
      </c>
    </row>
    <row r="9" customFormat="false" ht="15" hidden="false" customHeight="false" outlineLevel="0" collapsed="false">
      <c r="A9" s="14" t="n">
        <v>0.87</v>
      </c>
      <c r="B9" s="0" t="s">
        <v>50</v>
      </c>
    </row>
    <row r="10" customFormat="false" ht="15" hidden="false" customHeight="false" outlineLevel="0" collapsed="false">
      <c r="A10" s="14" t="n">
        <v>0.9</v>
      </c>
      <c r="B10" s="0" t="s">
        <v>51</v>
      </c>
    </row>
    <row r="11" customFormat="false" ht="15" hidden="false" customHeight="false" outlineLevel="0" collapsed="false">
      <c r="A11" s="14" t="n">
        <v>0.94</v>
      </c>
      <c r="B11" s="0" t="s">
        <v>52</v>
      </c>
    </row>
    <row r="12" customFormat="false" ht="15" hidden="false" customHeight="false" outlineLevel="0" collapsed="false">
      <c r="A12" s="14" t="n">
        <v>0.97</v>
      </c>
      <c r="B12" s="0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2025-11-24T12:15:48Z</dcterms:created>
  <dc:creator>openpyxl</dc:creator>
  <dc:description/>
  <dc:language>en-US</dc:language>
  <cp:lastModifiedBy/>
  <dcterms:modified xsi:type="dcterms:W3CDTF">2025-11-24T07:52:10Z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